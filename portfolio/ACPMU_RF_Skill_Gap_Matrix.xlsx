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1DF37CE3-24BD-40D2-8950-5A3BF981934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kill Gap Matrix" sheetId="1" r:id="rId1"/>
    <sheet name="Öz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9" i="2" s="1"/>
  <c r="E6" i="2"/>
  <c r="B6" i="2"/>
  <c r="E5" i="2"/>
  <c r="B5" i="2"/>
  <c r="E4" i="2"/>
</calcChain>
</file>

<file path=xl/sharedStrings.xml><?xml version="1.0" encoding="utf-8"?>
<sst xmlns="http://schemas.openxmlformats.org/spreadsheetml/2006/main" count="367" uniqueCount="234">
  <si>
    <t>ACPMU-RF Skill Gap Matrix</t>
  </si>
  <si>
    <t>ID</t>
  </si>
  <si>
    <t>Kategori</t>
  </si>
  <si>
    <t>Yetkinlik / İlan Beklentisi</t>
  </si>
  <si>
    <t>Kaynak İlan</t>
  </si>
  <si>
    <t>Başlangıç Durumu</t>
  </si>
  <si>
    <t>Gap Açıklaması</t>
  </si>
  <si>
    <t>Bu Projede Üretilecek Kanıt</t>
  </si>
  <si>
    <t>Hedef Hafta</t>
  </si>
  <si>
    <t>Öncelik</t>
  </si>
  <si>
    <t>Doğrulama Türü</t>
  </si>
  <si>
    <t>Nihai Durum</t>
  </si>
  <si>
    <t>Kanıt Dosyası / Not</t>
  </si>
  <si>
    <t>SG-001</t>
  </si>
  <si>
    <t>Sistem Mühendisliği</t>
  </si>
  <si>
    <t>Ölçülebilir sistem gereksinimleri yazma</t>
  </si>
  <si>
    <t>J1,J3</t>
  </si>
  <si>
    <t>Gap</t>
  </si>
  <si>
    <t>SYS-REQ ve kabul kriteri deneyimi portföyde görünür değil.</t>
  </si>
  <si>
    <t>30–40 adet SYS-REQ + rationale + verification method + acceptance criterion</t>
  </si>
  <si>
    <t>1</t>
  </si>
  <si>
    <t>Yüksek</t>
  </si>
  <si>
    <t>Review/Analysis</t>
  </si>
  <si>
    <t>Başlanmadı</t>
  </si>
  <si>
    <t>System_Requirements_v0.1.xlsx/PDF</t>
  </si>
  <si>
    <t>SG-002</t>
  </si>
  <si>
    <t>Requirement → design → verification izlenebilirliği (RTM)</t>
  </si>
  <si>
    <t>J1,J3,J4</t>
  </si>
  <si>
    <t>İzlenebilirlik matrisi tecrübesi kanıtlanmamış.</t>
  </si>
  <si>
    <t>Tüm SYS-REQ'leri mimari bloklara ve verification evidence'a bağlayan RTM</t>
  </si>
  <si>
    <t>1,3,10</t>
  </si>
  <si>
    <t>Review</t>
  </si>
  <si>
    <t>RTM_v0.1 → final RTM</t>
  </si>
  <si>
    <t>SG-003</t>
  </si>
  <si>
    <t>ICD ve interface ownership</t>
  </si>
  <si>
    <t>Arayüzlerin tek dokümanda sistematik tanımı eksik.</t>
  </si>
  <si>
    <t>Power/CAN/RS485/RS232/RF/sensor arayüzlerini içeren ICD</t>
  </si>
  <si>
    <t>4</t>
  </si>
  <si>
    <t>Interface_Control_Document_v1.pdf</t>
  </si>
  <si>
    <t>SG-004</t>
  </si>
  <si>
    <t>Konfigürasyon</t>
  </si>
  <si>
    <t>Git, changelog ve design decision kayıtları</t>
  </si>
  <si>
    <t>J1,J2,J3</t>
  </si>
  <si>
    <t>Partial</t>
  </si>
  <si>
    <t>Kod için Git bilgisi olabilir; donanım tasarım kararlarının izlenmesi ayrıca gösterilmeli.</t>
  </si>
  <si>
    <t>Repository yapısı + düzenli commit + CHANGELOG + decision records</t>
  </si>
  <si>
    <t>1–10</t>
  </si>
  <si>
    <t>Orta</t>
  </si>
  <si>
    <t>Inspection</t>
  </si>
  <si>
    <t>README.md / CHANGELOG.md / commits</t>
  </si>
  <si>
    <t>SG-005</t>
  </si>
  <si>
    <t>Temel Elektronik</t>
  </si>
  <si>
    <t>Logic-level compatibility ve margin kontrolü</t>
  </si>
  <si>
    <t>J2,J3</t>
  </si>
  <si>
    <t>3.3 V / 5 V arayüz uyumu ve rated-vs-operating margin kanıtı eksik.</t>
  </si>
  <si>
    <t>VOH/VOL ↔ VIH/VIL kontrolü + Component_Rating_Margin tablosu</t>
  </si>
  <si>
    <t>Analysis</t>
  </si>
  <si>
    <t>Interface_Voltage_Compatibility_v0.1.xlsx</t>
  </si>
  <si>
    <t>SG-006</t>
  </si>
  <si>
    <t>Güç Elektroniği</t>
  </si>
  <si>
    <t>9–24 V giriş koruması, TVS/ESD, ters polarite</t>
  </si>
  <si>
    <t>Aviyonik güç giriş koruma mimarisi portföyde yok.</t>
  </si>
  <si>
    <t>Koruma topolojisi trade study + power input schematic</t>
  </si>
  <si>
    <t>3</t>
  </si>
  <si>
    <t>Analysis/Review</t>
  </si>
  <si>
    <t>Power_Input_Architecture.pdf</t>
  </si>
  <si>
    <t>SG-007</t>
  </si>
  <si>
    <t>Buck regülatör boyutlandırma ve worst-case hesabı</t>
  </si>
  <si>
    <t>L/C/feedback/ripple/peak current hesabı gösterilmiyor.</t>
  </si>
  <si>
    <t>5 V buck hesapları + 9/12/24 V duty/ripple/worst-case tabloları</t>
  </si>
  <si>
    <t>Buck_Calculation_Sheet.xlsx</t>
  </si>
  <si>
    <t>SG-008</t>
  </si>
  <si>
    <t>Simülasyon</t>
  </si>
  <si>
    <t>LTspice startup, line-step, load-step, tolerance sweep</t>
  </si>
  <si>
    <t>J1,J2</t>
  </si>
  <si>
    <t>Temel SPICE bilgisi varsa bile sistematik doğrulama kanıtı eksik.</t>
  </si>
  <si>
    <t>Startup + line transient + load transient + tolerance sonuçları</t>
  </si>
  <si>
    <t>Simulation</t>
  </si>
  <si>
    <t>PWR_SIM_01/02 reports</t>
  </si>
  <si>
    <t>SG-009</t>
  </si>
  <si>
    <t>Power Monitoring</t>
  </si>
  <si>
    <t>INA238 high-side current/power measurement</t>
  </si>
  <si>
    <t>Shunt/Kelvin/measurement-range tasarımı eksik.</t>
  </si>
  <si>
    <t>Shunt hesapları + INA238 schematic + register/scale tablosu</t>
  </si>
  <si>
    <t>INA238_Design_Note.pdf</t>
  </si>
  <si>
    <t>SG-010</t>
  </si>
  <si>
    <t>Thermal</t>
  </si>
  <si>
    <t>Thermal budget ve junction temperature tahmini</t>
  </si>
  <si>
    <t>P_loss, Tj ve hotspot analizi portföyde yok.</t>
  </si>
  <si>
    <t>Buck/LDO/MOSFET/shunt/transceiver dissipation + Tj estimates</t>
  </si>
  <si>
    <t>3,9</t>
  </si>
  <si>
    <t>Thermal_Analysis_v0.1.xlsx</t>
  </si>
  <si>
    <t>SG-011</t>
  </si>
  <si>
    <t>MCU</t>
  </si>
  <si>
    <t>STM32G4 seçimi, clock tree ve peripheral planning</t>
  </si>
  <si>
    <t>MCU kullanımı olsa bile seçim/clock/peripheral ownership mühendislik kanıtı eksik.</t>
  </si>
  <si>
    <t>STM32 selection note + CubeMX + peripheral ownership + clock options</t>
  </si>
  <si>
    <t>2</t>
  </si>
  <si>
    <t>STM32_Selection_Decision.pdf / .ioc</t>
  </si>
  <si>
    <t>SG-012</t>
  </si>
  <si>
    <t>MCU Donanımı</t>
  </si>
  <si>
    <t>Power/reset/boot/SWD/decoupling tasarımı</t>
  </si>
  <si>
    <t>MCU minimum hardware tasarımı bütünlüklü gösterilmiyor.</t>
  </si>
  <si>
    <t>MCU hierarchical schematic + review checklist + placement constraints</t>
  </si>
  <si>
    <t>Review/Inspection</t>
  </si>
  <si>
    <t>02_MCU.SchDoc</t>
  </si>
  <si>
    <t>SG-013</t>
  </si>
  <si>
    <t>CAN-FD</t>
  </si>
  <si>
    <t>CAN controller/transceiver fiziksel katman tasarımı</t>
  </si>
  <si>
    <t>CAN-FD hardware + termination + protection tasarım kanıtı eksik.</t>
  </si>
  <si>
    <t>TCAN1044V tabanlı schematic + termination/TVS/VIO kontrolü</t>
  </si>
  <si>
    <t>CAN_Schematic / CAN_Physical_Layer_Note</t>
  </si>
  <si>
    <t>SG-014</t>
  </si>
  <si>
    <t>Bit timing ve message matrix</t>
  </si>
  <si>
    <t>FDCAN timing ve sistem-level telemetry tanımı gösterilmiyor.</t>
  </si>
  <si>
    <t>500 kbps classic + CAN-FD örneği + message ID/DLC/scaling/timeout matrix</t>
  </si>
  <si>
    <t>CAN_Bit_Timing.xlsx / CAN_Interface_Matrix.xlsx</t>
  </si>
  <si>
    <t>SG-015</t>
  </si>
  <si>
    <t>RS-485</t>
  </si>
  <si>
    <t>Half-duplex, termination, fail-safe ve protection</t>
  </si>
  <si>
    <t>Endüstriyel differential bus tasarım kanıtı eksik.</t>
  </si>
  <si>
    <t>THVD1450 schematic + termination option + bias/fail-safe decision</t>
  </si>
  <si>
    <t>RS485_Schematic / Decision_Record</t>
  </si>
  <si>
    <t>SG-016</t>
  </si>
  <si>
    <t>RS-232</t>
  </si>
  <si>
    <t>UART ↔ RS-232 fiziksel katmanı</t>
  </si>
  <si>
    <t>UART bilgisi olabilir; gerçek RS-232 level shifting tasarımı ayrıca gösterilmeli.</t>
  </si>
  <si>
    <t>MAX3232E schematic + baud/frame worksheet + connector pinout</t>
  </si>
  <si>
    <t>RS232_Schematic / Serial_Timing_Worksheet</t>
  </si>
  <si>
    <t>SG-017</t>
  </si>
  <si>
    <t>Dijital Arayüz</t>
  </si>
  <si>
    <t>SPI/I2C/microSD interface planning</t>
  </si>
  <si>
    <t>Temel protokol bilgisi var; timing/ownership/testpoint planı eksik.</t>
  </si>
  <si>
    <t>Interface parameter table + CS ownership + I2C address + testpoint plan</t>
  </si>
  <si>
    <t>Digital_Interface_Table.xlsx</t>
  </si>
  <si>
    <t>SG-018</t>
  </si>
  <si>
    <t>RF Temelleri</t>
  </si>
  <si>
    <t>dB/dBm, 50 Ω, transmission line ve RF chain</t>
  </si>
  <si>
    <t>J4,J5</t>
  </si>
  <si>
    <t>RF sistem dili ve hesapları portföyde zayıf/yok.</t>
  </si>
  <si>
    <t>RF fundamentals worksheet + RF chain architecture</t>
  </si>
  <si>
    <t>5</t>
  </si>
  <si>
    <t>RF_Fundamentals_Worksheet.xlsx</t>
  </si>
  <si>
    <t>SG-019</t>
  </si>
  <si>
    <t>RF / S-parametre</t>
  </si>
  <si>
    <t>S11/S21, return loss, VSWR, Smith chart farkındalığı</t>
  </si>
  <si>
    <t>S-parametre yorumlama ve RF acceptance target bilgisi eksik.</t>
  </si>
  <si>
    <t>S-parameter worksheet + antenna target tablosu + verification template</t>
  </si>
  <si>
    <t>Sparameter_Worksheet.xlsx</t>
  </si>
  <si>
    <t>SG-020</t>
  </si>
  <si>
    <t>RF Donanım</t>
  </si>
  <si>
    <t>SX1280 reference design, matching/filter, 50 Ω hat</t>
  </si>
  <si>
    <t>RF transceiver schematic/layout tecrübesi kanıtlanmamış.</t>
  </si>
  <si>
    <t>Vendor-traceable RF schematic + matching/filter note + RF layout rules</t>
  </si>
  <si>
    <t>5–8</t>
  </si>
  <si>
    <t>Review/Simulation</t>
  </si>
  <si>
    <t>RF_Transceiver_Schematic / RF_Matching_Filter_Note</t>
  </si>
  <si>
    <t>SG-021</t>
  </si>
  <si>
    <t>RF Sistem</t>
  </si>
  <si>
    <t>Link budget ve sensitivity/margin analizi</t>
  </si>
  <si>
    <t>J4</t>
  </si>
  <si>
    <t>Link budget pratiği eksik.</t>
  </si>
  <si>
    <t>2.4 GHz lab link budget + kavramsal LEO worksheet + sensitivity sweep</t>
  </si>
  <si>
    <t>Link_Budget_Lab.xlsx / Conceptual_LEO.xlsx</t>
  </si>
  <si>
    <t>SG-022</t>
  </si>
  <si>
    <t>Anten / CST</t>
  </si>
  <si>
    <t>2.4 GHz printed antenna modelleme ve optimizasyon</t>
  </si>
  <si>
    <t>CST/HFSS/FEKO benzeri EM simülasyon kanıtı yok.</t>
  </si>
  <si>
    <t>CST model + parametric sweep + S11/VSWR/gain/pattern/surface current</t>
  </si>
  <si>
    <t>6</t>
  </si>
  <si>
    <t>CST antenna project/report</t>
  </si>
  <si>
    <t>SG-023</t>
  </si>
  <si>
    <t>PCB Tasarım</t>
  </si>
  <si>
    <t>4 katman PCB, return path, placement ve routing</t>
  </si>
  <si>
    <t>J1,J2,J3,J5</t>
  </si>
  <si>
    <t>PCB tecrübesi varsa bile 4-layer aviyonik/RF kurallarıyla kanıt güçlendirilmeli.</t>
  </si>
  <si>
    <t>Main + RF board 4-layer layout, 3D, routing constraints</t>
  </si>
  <si>
    <t>7–8</t>
  </si>
  <si>
    <t>Inspection/Review</t>
  </si>
  <si>
    <t>PCB source + 3D screenshots</t>
  </si>
  <si>
    <t>SG-024</t>
  </si>
  <si>
    <t>PCB Doğrulama</t>
  </si>
  <si>
    <t>ERC/DRC, BOM, DFM ve fabrication package</t>
  </si>
  <si>
    <t>Üretime hazır çıktı ve formal kontrol kanıtı eksik.</t>
  </si>
  <si>
    <t>ERC/DRC reports + BOM + Gerber/ODB++ + NC Drill + Pick&amp;Place</t>
  </si>
  <si>
    <t>7–9</t>
  </si>
  <si>
    <t>Manufacturing release package</t>
  </si>
  <si>
    <t>SG-025</t>
  </si>
  <si>
    <t>SI / EMI-EMC</t>
  </si>
  <si>
    <t>Signal integrity ve EMI/EMC pre-compliance farkındalığı</t>
  </si>
  <si>
    <t>SI ve EMC tasarım kontrolü kanıtı eksik.</t>
  </si>
  <si>
    <t>SI evidence + EMI/EMC checklist + layout review</t>
  </si>
  <si>
    <t>9</t>
  </si>
  <si>
    <t>SI_Evidence.pdf / PreCompliance_Checklist.pdf</t>
  </si>
  <si>
    <t>SG-026</t>
  </si>
  <si>
    <t>Standartlar</t>
  </si>
  <si>
    <t>ECSS/MIL/CCSDS applicability mapping</t>
  </si>
  <si>
    <t>J2,J3,J4</t>
  </si>
  <si>
    <t>Standart farkındalığı ölçülebilir çıktı olarak gösterilmiyor.</t>
  </si>
  <si>
    <t>Applicability matrix: applies / awareness / out-of-scope</t>
  </si>
  <si>
    <t>ECSS_MIL_CCSDS_Applicability.pdf</t>
  </si>
  <si>
    <t>SG-027</t>
  </si>
  <si>
    <t>Test / Verification</t>
  </si>
  <si>
    <t>Verification plan, acceptance criteria ve evidence log</t>
  </si>
  <si>
    <t>J1,J2,J3,J4,J5</t>
  </si>
  <si>
    <t>Doğrulama planlama dili ve evidence management eksik.</t>
  </si>
  <si>
    <t>Verification Plan + Virtual Verification Evidence + final RTM</t>
  </si>
  <si>
    <t>9–10</t>
  </si>
  <si>
    <t>Verification_Plan.pdf / Evidence Log</t>
  </si>
  <si>
    <t>SG-028</t>
  </si>
  <si>
    <t>Lab Cihazları</t>
  </si>
  <si>
    <t>VNA / spectrum analyzer / oscilloscope fiziksel kullanım</t>
  </si>
  <si>
    <t>J1,J2,J4,J5</t>
  </si>
  <si>
    <t>Out of Scope</t>
  </si>
  <si>
    <t>Fiziksel cihaz erişimi bu proje için zorunlu değil; kullanım tecrübesi iddia edilmeyecek.</t>
  </si>
  <si>
    <t>Cihazlar için test prosedürü ve güvenlik/kalibrasyon adımları hazırlanacak; fiziksel ölçüm NOT EXECUTED kalabilir</t>
  </si>
  <si>
    <t>5,9,10</t>
  </si>
  <si>
    <t>Procedure only</t>
  </si>
  <si>
    <t>Kapsam Dışı</t>
  </si>
  <si>
    <t>VNA/Spectrum/Test Procedures</t>
  </si>
  <si>
    <t>ACPMU-RF | Skill Gap Özeti</t>
  </si>
  <si>
    <t>Gösterge</t>
  </si>
  <si>
    <t>Değer</t>
  </si>
  <si>
    <t>Adet</t>
  </si>
  <si>
    <t>Toplam yetkinlik</t>
  </si>
  <si>
    <t>Başlangıçta Gap</t>
  </si>
  <si>
    <t>Başlangıçta Partial</t>
  </si>
  <si>
    <t>Düşük</t>
  </si>
  <si>
    <t>Nihai Kanıtlandı</t>
  </si>
  <si>
    <t>Kullanım</t>
  </si>
  <si>
    <t>1. gün: E/F/G sütunlarını gözden geçir. Her hafta K/L sütunlarını güncelle.</t>
  </si>
  <si>
    <t>Tamamlanma %</t>
  </si>
  <si>
    <t>Kaynak Mantığı</t>
  </si>
  <si>
    <t>Matris, yüklenen ACPMU-RF planındaki J1–J5 hedef ilan yetkinlikleri ve proje kanıtları baz alınarak hazırlandı. Fiziksel VNA/spectrum analyzer/oscilloscope kullanımı özellikle 'Out of Scope' bırakıldı; proje planındaki dürüst kapsam sınırına uygun olarak yalnız test prosedürü hazırlanması hedeflendi.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</si>
</sst>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i/>
      <sz val="11"/>
      <color rgb="FF1F2937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5597"/>
      </patternFill>
    </fill>
  </fills>
  <borders count="15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/>
      <diagonal/>
    </border>
    <border>
      <left/>
      <right style="thin">
        <color rgb="FFB4C6E7"/>
      </right>
      <top/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3" fillId="4" borderId="9" xfId="0" applyFont="1" applyFill="1" applyBorder="1"/>
    <xf numFmtId="0" fontId="3" fillId="4" borderId="10" xfId="0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9" fontId="0" fillId="0" borderId="14" xfId="0" applyNumberFormat="1" applyBorder="1"/>
    <xf numFmtId="0" fontId="0" fillId="0" borderId="14" xfId="0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/>
    </xf>
    <xf numFmtId="0" fontId="4" fillId="3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6">
    <dxf>
      <font>
        <color rgb="FF6B7280"/>
      </font>
      <fill>
        <patternFill patternType="solid">
          <bgColor rgb="FFF3F4F6"/>
        </patternFill>
      </fill>
    </dxf>
    <dxf>
      <font>
        <color rgb="FF1D4ED8"/>
      </font>
      <fill>
        <patternFill patternType="solid">
          <bgColor rgb="FFDBEAFE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color rgb="FF4B5563"/>
      </font>
      <fill>
        <patternFill patternType="solid">
          <bgColor rgb="FFE5E7EB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Yetkinliklerin Öncelik Dağılımı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Adet</c:v>
          </c:tx>
          <c:invertIfNegative val="1"/>
          <c:cat>
            <c:strRef>
              <c:f>Özet!$D$4:$D$6</c:f>
              <c:strCache>
                <c:ptCount val="3"/>
                <c:pt idx="0">
                  <c:v>Yüksek</c:v>
                </c:pt>
                <c:pt idx="1">
                  <c:v>Orta</c:v>
                </c:pt>
                <c:pt idx="2">
                  <c:v>Düşük</c:v>
                </c:pt>
              </c:strCache>
            </c:strRef>
          </c:cat>
          <c:val>
            <c:numRef>
              <c:f>Özet!$E$4:$E$6</c:f>
              <c:numCache>
                <c:formatCode>General</c:formatCode>
                <c:ptCount val="3"/>
                <c:pt idx="0">
                  <c:v>21</c:v>
                </c:pt>
                <c:pt idx="1">
                  <c:v>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9B-4D40-B74F-9C7275BEB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killGapTable" displayName="SkillGapTable" ref="A3:L31" totalsRowShown="0">
  <tableColumns count="12">
    <tableColumn id="1" xr3:uid="{00000000-0010-0000-0000-000001000000}" name="ID"/>
    <tableColumn id="2" xr3:uid="{00000000-0010-0000-0000-000002000000}" name="Kategori"/>
    <tableColumn id="3" xr3:uid="{00000000-0010-0000-0000-000003000000}" name="Yetkinlik / İlan Beklentisi"/>
    <tableColumn id="4" xr3:uid="{00000000-0010-0000-0000-000004000000}" name="Kaynak İlan"/>
    <tableColumn id="5" xr3:uid="{00000000-0010-0000-0000-000005000000}" name="Başlangıç Durumu"/>
    <tableColumn id="6" xr3:uid="{00000000-0010-0000-0000-000006000000}" name="Gap Açıklaması"/>
    <tableColumn id="7" xr3:uid="{00000000-0010-0000-0000-000007000000}" name="Bu Projede Üretilecek Kanıt"/>
    <tableColumn id="8" xr3:uid="{00000000-0010-0000-0000-000008000000}" name="Hedef Hafta"/>
    <tableColumn id="9" xr3:uid="{00000000-0010-0000-0000-000009000000}" name="Öncelik"/>
    <tableColumn id="10" xr3:uid="{00000000-0010-0000-0000-00000A000000}" name="Doğrulama Türü"/>
    <tableColumn id="11" xr3:uid="{00000000-0010-0000-0000-00000B000000}" name="Nihai Durum"/>
    <tableColumn id="12" xr3:uid="{00000000-0010-0000-0000-00000C000000}" name="Kanıt Dosyası / No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A2" sqref="A2:L2"/>
    </sheetView>
  </sheetViews>
  <sheetFormatPr defaultRowHeight="13.8"/>
  <cols>
    <col min="1" max="1" width="10" customWidth="1"/>
    <col min="2" max="2" width="20" customWidth="1"/>
    <col min="3" max="3" width="34" customWidth="1"/>
    <col min="4" max="4" width="14" customWidth="1"/>
    <col min="5" max="5" width="18" customWidth="1"/>
    <col min="6" max="6" width="38" customWidth="1"/>
    <col min="7" max="7" width="45" customWidth="1"/>
    <col min="8" max="9" width="12" customWidth="1"/>
    <col min="10" max="10" width="20" customWidth="1"/>
    <col min="11" max="11" width="16" customWidth="1"/>
    <col min="12" max="12" width="34" customWidth="1"/>
  </cols>
  <sheetData>
    <row r="1" spans="1:12" ht="22.3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27.1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4" t="s">
        <v>12</v>
      </c>
    </row>
    <row r="4" spans="1:12" ht="27.6">
      <c r="A4" s="5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6" t="s">
        <v>24</v>
      </c>
    </row>
    <row r="5" spans="1:12" ht="27.6">
      <c r="A5" s="5" t="s">
        <v>25</v>
      </c>
      <c r="B5" s="1" t="s">
        <v>14</v>
      </c>
      <c r="C5" s="1" t="s">
        <v>26</v>
      </c>
      <c r="D5" s="1" t="s">
        <v>27</v>
      </c>
      <c r="E5" s="1" t="s">
        <v>17</v>
      </c>
      <c r="F5" s="1" t="s">
        <v>28</v>
      </c>
      <c r="G5" s="1" t="s">
        <v>29</v>
      </c>
      <c r="H5" s="1" t="s">
        <v>30</v>
      </c>
      <c r="I5" s="1" t="s">
        <v>21</v>
      </c>
      <c r="J5" s="1" t="s">
        <v>31</v>
      </c>
      <c r="K5" s="1" t="s">
        <v>23</v>
      </c>
      <c r="L5" s="6" t="s">
        <v>32</v>
      </c>
    </row>
    <row r="6" spans="1:12" ht="27.6">
      <c r="A6" s="5" t="s">
        <v>33</v>
      </c>
      <c r="B6" s="1" t="s">
        <v>14</v>
      </c>
      <c r="C6" s="1" t="s">
        <v>34</v>
      </c>
      <c r="D6" s="1" t="s">
        <v>16</v>
      </c>
      <c r="E6" s="1" t="s">
        <v>17</v>
      </c>
      <c r="F6" s="1" t="s">
        <v>35</v>
      </c>
      <c r="G6" s="1" t="s">
        <v>36</v>
      </c>
      <c r="H6" s="1" t="s">
        <v>37</v>
      </c>
      <c r="I6" s="1" t="s">
        <v>21</v>
      </c>
      <c r="J6" s="1" t="s">
        <v>31</v>
      </c>
      <c r="K6" s="1" t="s">
        <v>23</v>
      </c>
      <c r="L6" s="6" t="s">
        <v>38</v>
      </c>
    </row>
    <row r="7" spans="1:12" ht="27.6">
      <c r="A7" s="5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45</v>
      </c>
      <c r="H7" s="1" t="s">
        <v>46</v>
      </c>
      <c r="I7" s="1" t="s">
        <v>47</v>
      </c>
      <c r="J7" s="1" t="s">
        <v>48</v>
      </c>
      <c r="K7" s="1" t="s">
        <v>23</v>
      </c>
      <c r="L7" s="6" t="s">
        <v>49</v>
      </c>
    </row>
    <row r="8" spans="1:12" ht="27.6">
      <c r="A8" s="5" t="s">
        <v>50</v>
      </c>
      <c r="B8" s="1" t="s">
        <v>51</v>
      </c>
      <c r="C8" s="1" t="s">
        <v>52</v>
      </c>
      <c r="D8" s="1" t="s">
        <v>53</v>
      </c>
      <c r="E8" s="1" t="s">
        <v>43</v>
      </c>
      <c r="F8" s="1" t="s">
        <v>54</v>
      </c>
      <c r="G8" s="1" t="s">
        <v>55</v>
      </c>
      <c r="H8" s="1" t="s">
        <v>20</v>
      </c>
      <c r="I8" s="1" t="s">
        <v>21</v>
      </c>
      <c r="J8" s="1" t="s">
        <v>56</v>
      </c>
      <c r="K8" s="1" t="s">
        <v>23</v>
      </c>
      <c r="L8" s="6" t="s">
        <v>57</v>
      </c>
    </row>
    <row r="9" spans="1:12" ht="27.6">
      <c r="A9" s="5" t="s">
        <v>58</v>
      </c>
      <c r="B9" s="1" t="s">
        <v>59</v>
      </c>
      <c r="C9" s="1" t="s">
        <v>60</v>
      </c>
      <c r="D9" s="1" t="s">
        <v>42</v>
      </c>
      <c r="E9" s="1" t="s">
        <v>43</v>
      </c>
      <c r="F9" s="1" t="s">
        <v>61</v>
      </c>
      <c r="G9" s="1" t="s">
        <v>62</v>
      </c>
      <c r="H9" s="1" t="s">
        <v>63</v>
      </c>
      <c r="I9" s="1" t="s">
        <v>21</v>
      </c>
      <c r="J9" s="1" t="s">
        <v>64</v>
      </c>
      <c r="K9" s="1" t="s">
        <v>23</v>
      </c>
      <c r="L9" s="6" t="s">
        <v>65</v>
      </c>
    </row>
    <row r="10" spans="1:12" ht="27.6">
      <c r="A10" s="5" t="s">
        <v>66</v>
      </c>
      <c r="B10" s="1" t="s">
        <v>59</v>
      </c>
      <c r="C10" s="1" t="s">
        <v>67</v>
      </c>
      <c r="D10" s="1" t="s">
        <v>53</v>
      </c>
      <c r="E10" s="1" t="s">
        <v>43</v>
      </c>
      <c r="F10" s="1" t="s">
        <v>68</v>
      </c>
      <c r="G10" s="1" t="s">
        <v>69</v>
      </c>
      <c r="H10" s="1" t="s">
        <v>63</v>
      </c>
      <c r="I10" s="1" t="s">
        <v>21</v>
      </c>
      <c r="J10" s="1" t="s">
        <v>56</v>
      </c>
      <c r="K10" s="1" t="s">
        <v>23</v>
      </c>
      <c r="L10" s="6" t="s">
        <v>70</v>
      </c>
    </row>
    <row r="11" spans="1:12" ht="27.6">
      <c r="A11" s="5" t="s">
        <v>71</v>
      </c>
      <c r="B11" s="1" t="s">
        <v>72</v>
      </c>
      <c r="C11" s="1" t="s">
        <v>73</v>
      </c>
      <c r="D11" s="1" t="s">
        <v>74</v>
      </c>
      <c r="E11" s="1" t="s">
        <v>43</v>
      </c>
      <c r="F11" s="1" t="s">
        <v>75</v>
      </c>
      <c r="G11" s="1" t="s">
        <v>76</v>
      </c>
      <c r="H11" s="1" t="s">
        <v>63</v>
      </c>
      <c r="I11" s="1" t="s">
        <v>21</v>
      </c>
      <c r="J11" s="1" t="s">
        <v>77</v>
      </c>
      <c r="K11" s="1" t="s">
        <v>23</v>
      </c>
      <c r="L11" s="6" t="s">
        <v>78</v>
      </c>
    </row>
    <row r="12" spans="1:12" ht="27.6">
      <c r="A12" s="5" t="s">
        <v>79</v>
      </c>
      <c r="B12" s="1" t="s">
        <v>80</v>
      </c>
      <c r="C12" s="1" t="s">
        <v>81</v>
      </c>
      <c r="D12" s="1" t="s">
        <v>53</v>
      </c>
      <c r="E12" s="1" t="s">
        <v>17</v>
      </c>
      <c r="F12" s="1" t="s">
        <v>82</v>
      </c>
      <c r="G12" s="1" t="s">
        <v>83</v>
      </c>
      <c r="H12" s="1" t="s">
        <v>63</v>
      </c>
      <c r="I12" s="1" t="s">
        <v>47</v>
      </c>
      <c r="J12" s="1" t="s">
        <v>64</v>
      </c>
      <c r="K12" s="1" t="s">
        <v>23</v>
      </c>
      <c r="L12" s="6" t="s">
        <v>84</v>
      </c>
    </row>
    <row r="13" spans="1:12" ht="27.6">
      <c r="A13" s="5" t="s">
        <v>85</v>
      </c>
      <c r="B13" s="1" t="s">
        <v>86</v>
      </c>
      <c r="C13" s="1" t="s">
        <v>87</v>
      </c>
      <c r="D13" s="1" t="s">
        <v>53</v>
      </c>
      <c r="E13" s="1" t="s">
        <v>17</v>
      </c>
      <c r="F13" s="1" t="s">
        <v>88</v>
      </c>
      <c r="G13" s="1" t="s">
        <v>89</v>
      </c>
      <c r="H13" s="1" t="s">
        <v>90</v>
      </c>
      <c r="I13" s="1" t="s">
        <v>21</v>
      </c>
      <c r="J13" s="1" t="s">
        <v>56</v>
      </c>
      <c r="K13" s="1" t="s">
        <v>23</v>
      </c>
      <c r="L13" s="6" t="s">
        <v>91</v>
      </c>
    </row>
    <row r="14" spans="1:12" ht="41.4">
      <c r="A14" s="5" t="s">
        <v>92</v>
      </c>
      <c r="B14" s="1" t="s">
        <v>93</v>
      </c>
      <c r="C14" s="1" t="s">
        <v>94</v>
      </c>
      <c r="D14" s="1" t="s">
        <v>53</v>
      </c>
      <c r="E14" s="1" t="s">
        <v>43</v>
      </c>
      <c r="F14" s="1" t="s">
        <v>95</v>
      </c>
      <c r="G14" s="1" t="s">
        <v>96</v>
      </c>
      <c r="H14" s="1" t="s">
        <v>97</v>
      </c>
      <c r="I14" s="1" t="s">
        <v>21</v>
      </c>
      <c r="J14" s="1" t="s">
        <v>64</v>
      </c>
      <c r="K14" s="1" t="s">
        <v>23</v>
      </c>
      <c r="L14" s="6" t="s">
        <v>98</v>
      </c>
    </row>
    <row r="15" spans="1:12" ht="27.6">
      <c r="A15" s="5" t="s">
        <v>99</v>
      </c>
      <c r="B15" s="1" t="s">
        <v>100</v>
      </c>
      <c r="C15" s="1" t="s">
        <v>101</v>
      </c>
      <c r="D15" s="1" t="s">
        <v>53</v>
      </c>
      <c r="E15" s="1" t="s">
        <v>17</v>
      </c>
      <c r="F15" s="1" t="s">
        <v>102</v>
      </c>
      <c r="G15" s="1" t="s">
        <v>103</v>
      </c>
      <c r="H15" s="1" t="s">
        <v>97</v>
      </c>
      <c r="I15" s="1" t="s">
        <v>21</v>
      </c>
      <c r="J15" s="1" t="s">
        <v>104</v>
      </c>
      <c r="K15" s="1" t="s">
        <v>23</v>
      </c>
      <c r="L15" s="6" t="s">
        <v>105</v>
      </c>
    </row>
    <row r="16" spans="1:12" ht="27.6">
      <c r="A16" s="5" t="s">
        <v>106</v>
      </c>
      <c r="B16" s="1" t="s">
        <v>107</v>
      </c>
      <c r="C16" s="1" t="s">
        <v>108</v>
      </c>
      <c r="D16" s="1" t="s">
        <v>42</v>
      </c>
      <c r="E16" s="1" t="s">
        <v>17</v>
      </c>
      <c r="F16" s="1" t="s">
        <v>109</v>
      </c>
      <c r="G16" s="1" t="s">
        <v>110</v>
      </c>
      <c r="H16" s="1" t="s">
        <v>37</v>
      </c>
      <c r="I16" s="1" t="s">
        <v>21</v>
      </c>
      <c r="J16" s="1" t="s">
        <v>64</v>
      </c>
      <c r="K16" s="1" t="s">
        <v>23</v>
      </c>
      <c r="L16" s="6" t="s">
        <v>111</v>
      </c>
    </row>
    <row r="17" spans="1:12" ht="27.6">
      <c r="A17" s="5" t="s">
        <v>112</v>
      </c>
      <c r="B17" s="1" t="s">
        <v>107</v>
      </c>
      <c r="C17" s="1" t="s">
        <v>113</v>
      </c>
      <c r="D17" s="1" t="s">
        <v>16</v>
      </c>
      <c r="E17" s="1" t="s">
        <v>17</v>
      </c>
      <c r="F17" s="1" t="s">
        <v>114</v>
      </c>
      <c r="G17" s="1" t="s">
        <v>115</v>
      </c>
      <c r="H17" s="1" t="s">
        <v>37</v>
      </c>
      <c r="I17" s="1" t="s">
        <v>21</v>
      </c>
      <c r="J17" s="1" t="s">
        <v>56</v>
      </c>
      <c r="K17" s="1" t="s">
        <v>23</v>
      </c>
      <c r="L17" s="6" t="s">
        <v>116</v>
      </c>
    </row>
    <row r="18" spans="1:12" ht="27.6">
      <c r="A18" s="5" t="s">
        <v>117</v>
      </c>
      <c r="B18" s="1" t="s">
        <v>118</v>
      </c>
      <c r="C18" s="1" t="s">
        <v>119</v>
      </c>
      <c r="D18" s="1" t="s">
        <v>42</v>
      </c>
      <c r="E18" s="1" t="s">
        <v>17</v>
      </c>
      <c r="F18" s="1" t="s">
        <v>120</v>
      </c>
      <c r="G18" s="1" t="s">
        <v>121</v>
      </c>
      <c r="H18" s="1" t="s">
        <v>37</v>
      </c>
      <c r="I18" s="1" t="s">
        <v>47</v>
      </c>
      <c r="J18" s="1" t="s">
        <v>64</v>
      </c>
      <c r="K18" s="1" t="s">
        <v>23</v>
      </c>
      <c r="L18" s="6" t="s">
        <v>122</v>
      </c>
    </row>
    <row r="19" spans="1:12" ht="27.6">
      <c r="A19" s="5" t="s">
        <v>123</v>
      </c>
      <c r="B19" s="1" t="s">
        <v>124</v>
      </c>
      <c r="C19" s="1" t="s">
        <v>125</v>
      </c>
      <c r="D19" s="1" t="s">
        <v>16</v>
      </c>
      <c r="E19" s="1" t="s">
        <v>43</v>
      </c>
      <c r="F19" s="1" t="s">
        <v>126</v>
      </c>
      <c r="G19" s="1" t="s">
        <v>127</v>
      </c>
      <c r="H19" s="1" t="s">
        <v>37</v>
      </c>
      <c r="I19" s="1" t="s">
        <v>47</v>
      </c>
      <c r="J19" s="1" t="s">
        <v>64</v>
      </c>
      <c r="K19" s="1" t="s">
        <v>23</v>
      </c>
      <c r="L19" s="6" t="s">
        <v>128</v>
      </c>
    </row>
    <row r="20" spans="1:12" ht="27.6">
      <c r="A20" s="5" t="s">
        <v>129</v>
      </c>
      <c r="B20" s="1" t="s">
        <v>130</v>
      </c>
      <c r="C20" s="1" t="s">
        <v>131</v>
      </c>
      <c r="D20" s="1" t="s">
        <v>53</v>
      </c>
      <c r="E20" s="1" t="s">
        <v>43</v>
      </c>
      <c r="F20" s="1" t="s">
        <v>132</v>
      </c>
      <c r="G20" s="1" t="s">
        <v>133</v>
      </c>
      <c r="H20" s="1" t="s">
        <v>37</v>
      </c>
      <c r="I20" s="1" t="s">
        <v>47</v>
      </c>
      <c r="J20" s="1" t="s">
        <v>31</v>
      </c>
      <c r="K20" s="1" t="s">
        <v>23</v>
      </c>
      <c r="L20" s="6" t="s">
        <v>134</v>
      </c>
    </row>
    <row r="21" spans="1:12" ht="27.6">
      <c r="A21" s="5" t="s">
        <v>135</v>
      </c>
      <c r="B21" s="1" t="s">
        <v>136</v>
      </c>
      <c r="C21" s="1" t="s">
        <v>137</v>
      </c>
      <c r="D21" s="1" t="s">
        <v>138</v>
      </c>
      <c r="E21" s="1" t="s">
        <v>17</v>
      </c>
      <c r="F21" s="1" t="s">
        <v>139</v>
      </c>
      <c r="G21" s="1" t="s">
        <v>140</v>
      </c>
      <c r="H21" s="1" t="s">
        <v>141</v>
      </c>
      <c r="I21" s="1" t="s">
        <v>21</v>
      </c>
      <c r="J21" s="1" t="s">
        <v>56</v>
      </c>
      <c r="K21" s="1" t="s">
        <v>23</v>
      </c>
      <c r="L21" s="6" t="s">
        <v>142</v>
      </c>
    </row>
    <row r="22" spans="1:12" ht="27.6">
      <c r="A22" s="5" t="s">
        <v>143</v>
      </c>
      <c r="B22" s="1" t="s">
        <v>144</v>
      </c>
      <c r="C22" s="1" t="s">
        <v>145</v>
      </c>
      <c r="D22" s="1" t="s">
        <v>138</v>
      </c>
      <c r="E22" s="1" t="s">
        <v>17</v>
      </c>
      <c r="F22" s="1" t="s">
        <v>146</v>
      </c>
      <c r="G22" s="1" t="s">
        <v>147</v>
      </c>
      <c r="H22" s="1" t="s">
        <v>141</v>
      </c>
      <c r="I22" s="1" t="s">
        <v>21</v>
      </c>
      <c r="J22" s="1" t="s">
        <v>56</v>
      </c>
      <c r="K22" s="1" t="s">
        <v>23</v>
      </c>
      <c r="L22" s="6" t="s">
        <v>148</v>
      </c>
    </row>
    <row r="23" spans="1:12" ht="27.6">
      <c r="A23" s="5" t="s">
        <v>149</v>
      </c>
      <c r="B23" s="1" t="s">
        <v>150</v>
      </c>
      <c r="C23" s="1" t="s">
        <v>151</v>
      </c>
      <c r="D23" s="1" t="s">
        <v>138</v>
      </c>
      <c r="E23" s="1" t="s">
        <v>17</v>
      </c>
      <c r="F23" s="1" t="s">
        <v>152</v>
      </c>
      <c r="G23" s="1" t="s">
        <v>153</v>
      </c>
      <c r="H23" s="1" t="s">
        <v>154</v>
      </c>
      <c r="I23" s="1" t="s">
        <v>21</v>
      </c>
      <c r="J23" s="1" t="s">
        <v>155</v>
      </c>
      <c r="K23" s="1" t="s">
        <v>23</v>
      </c>
      <c r="L23" s="6" t="s">
        <v>156</v>
      </c>
    </row>
    <row r="24" spans="1:12" ht="27.6">
      <c r="A24" s="5" t="s">
        <v>157</v>
      </c>
      <c r="B24" s="1" t="s">
        <v>158</v>
      </c>
      <c r="C24" s="1" t="s">
        <v>159</v>
      </c>
      <c r="D24" s="1" t="s">
        <v>160</v>
      </c>
      <c r="E24" s="1" t="s">
        <v>17</v>
      </c>
      <c r="F24" s="1" t="s">
        <v>161</v>
      </c>
      <c r="G24" s="1" t="s">
        <v>162</v>
      </c>
      <c r="H24" s="1" t="s">
        <v>141</v>
      </c>
      <c r="I24" s="1" t="s">
        <v>21</v>
      </c>
      <c r="J24" s="1" t="s">
        <v>56</v>
      </c>
      <c r="K24" s="1" t="s">
        <v>23</v>
      </c>
      <c r="L24" s="6" t="s">
        <v>163</v>
      </c>
    </row>
    <row r="25" spans="1:12" ht="27.6">
      <c r="A25" s="5" t="s">
        <v>164</v>
      </c>
      <c r="B25" s="1" t="s">
        <v>165</v>
      </c>
      <c r="C25" s="1" t="s">
        <v>166</v>
      </c>
      <c r="D25" s="1" t="s">
        <v>138</v>
      </c>
      <c r="E25" s="1" t="s">
        <v>17</v>
      </c>
      <c r="F25" s="1" t="s">
        <v>167</v>
      </c>
      <c r="G25" s="1" t="s">
        <v>168</v>
      </c>
      <c r="H25" s="1" t="s">
        <v>169</v>
      </c>
      <c r="I25" s="1" t="s">
        <v>21</v>
      </c>
      <c r="J25" s="1" t="s">
        <v>77</v>
      </c>
      <c r="K25" s="1" t="s">
        <v>23</v>
      </c>
      <c r="L25" s="6" t="s">
        <v>170</v>
      </c>
    </row>
    <row r="26" spans="1:12" ht="27.6">
      <c r="A26" s="5" t="s">
        <v>171</v>
      </c>
      <c r="B26" s="1" t="s">
        <v>172</v>
      </c>
      <c r="C26" s="1" t="s">
        <v>173</v>
      </c>
      <c r="D26" s="1" t="s">
        <v>174</v>
      </c>
      <c r="E26" s="1" t="s">
        <v>43</v>
      </c>
      <c r="F26" s="1" t="s">
        <v>175</v>
      </c>
      <c r="G26" s="1" t="s">
        <v>176</v>
      </c>
      <c r="H26" s="1" t="s">
        <v>177</v>
      </c>
      <c r="I26" s="1" t="s">
        <v>21</v>
      </c>
      <c r="J26" s="1" t="s">
        <v>178</v>
      </c>
      <c r="K26" s="1" t="s">
        <v>23</v>
      </c>
      <c r="L26" s="6" t="s">
        <v>179</v>
      </c>
    </row>
    <row r="27" spans="1:12" ht="27.6">
      <c r="A27" s="5" t="s">
        <v>180</v>
      </c>
      <c r="B27" s="1" t="s">
        <v>181</v>
      </c>
      <c r="C27" s="1" t="s">
        <v>182</v>
      </c>
      <c r="D27" s="1" t="s">
        <v>42</v>
      </c>
      <c r="E27" s="1" t="s">
        <v>17</v>
      </c>
      <c r="F27" s="1" t="s">
        <v>183</v>
      </c>
      <c r="G27" s="1" t="s">
        <v>184</v>
      </c>
      <c r="H27" s="1" t="s">
        <v>185</v>
      </c>
      <c r="I27" s="1" t="s">
        <v>21</v>
      </c>
      <c r="J27" s="1" t="s">
        <v>48</v>
      </c>
      <c r="K27" s="1" t="s">
        <v>23</v>
      </c>
      <c r="L27" s="6" t="s">
        <v>186</v>
      </c>
    </row>
    <row r="28" spans="1:12" ht="27.6">
      <c r="A28" s="5" t="s">
        <v>187</v>
      </c>
      <c r="B28" s="1" t="s">
        <v>188</v>
      </c>
      <c r="C28" s="1" t="s">
        <v>189</v>
      </c>
      <c r="D28" s="1" t="s">
        <v>53</v>
      </c>
      <c r="E28" s="1" t="s">
        <v>17</v>
      </c>
      <c r="F28" s="1" t="s">
        <v>190</v>
      </c>
      <c r="G28" s="1" t="s">
        <v>191</v>
      </c>
      <c r="H28" s="1" t="s">
        <v>192</v>
      </c>
      <c r="I28" s="1" t="s">
        <v>21</v>
      </c>
      <c r="J28" s="1" t="s">
        <v>64</v>
      </c>
      <c r="K28" s="1" t="s">
        <v>23</v>
      </c>
      <c r="L28" s="6" t="s">
        <v>193</v>
      </c>
    </row>
    <row r="29" spans="1:12" ht="27.6">
      <c r="A29" s="5" t="s">
        <v>194</v>
      </c>
      <c r="B29" s="1" t="s">
        <v>195</v>
      </c>
      <c r="C29" s="1" t="s">
        <v>196</v>
      </c>
      <c r="D29" s="1" t="s">
        <v>197</v>
      </c>
      <c r="E29" s="1" t="s">
        <v>17</v>
      </c>
      <c r="F29" s="1" t="s">
        <v>198</v>
      </c>
      <c r="G29" s="1" t="s">
        <v>199</v>
      </c>
      <c r="H29" s="1" t="s">
        <v>192</v>
      </c>
      <c r="I29" s="1" t="s">
        <v>47</v>
      </c>
      <c r="J29" s="1" t="s">
        <v>31</v>
      </c>
      <c r="K29" s="1" t="s">
        <v>23</v>
      </c>
      <c r="L29" s="6" t="s">
        <v>200</v>
      </c>
    </row>
    <row r="30" spans="1:12" ht="27.6">
      <c r="A30" s="5" t="s">
        <v>201</v>
      </c>
      <c r="B30" s="1" t="s">
        <v>202</v>
      </c>
      <c r="C30" s="1" t="s">
        <v>203</v>
      </c>
      <c r="D30" s="1" t="s">
        <v>204</v>
      </c>
      <c r="E30" s="1" t="s">
        <v>17</v>
      </c>
      <c r="F30" s="1" t="s">
        <v>205</v>
      </c>
      <c r="G30" s="1" t="s">
        <v>206</v>
      </c>
      <c r="H30" s="1" t="s">
        <v>207</v>
      </c>
      <c r="I30" s="1" t="s">
        <v>21</v>
      </c>
      <c r="J30" s="1" t="s">
        <v>155</v>
      </c>
      <c r="K30" s="1" t="s">
        <v>23</v>
      </c>
      <c r="L30" s="6" t="s">
        <v>208</v>
      </c>
    </row>
    <row r="31" spans="1:12" ht="41.4">
      <c r="A31" s="7" t="s">
        <v>209</v>
      </c>
      <c r="B31" s="8" t="s">
        <v>210</v>
      </c>
      <c r="C31" s="8" t="s">
        <v>211</v>
      </c>
      <c r="D31" s="8" t="s">
        <v>212</v>
      </c>
      <c r="E31" s="8" t="s">
        <v>213</v>
      </c>
      <c r="F31" s="8" t="s">
        <v>214</v>
      </c>
      <c r="G31" s="8" t="s">
        <v>215</v>
      </c>
      <c r="H31" s="8" t="s">
        <v>216</v>
      </c>
      <c r="I31" s="8" t="s">
        <v>47</v>
      </c>
      <c r="J31" s="8" t="s">
        <v>217</v>
      </c>
      <c r="K31" s="8" t="s">
        <v>218</v>
      </c>
      <c r="L31" s="9" t="s">
        <v>219</v>
      </c>
    </row>
  </sheetData>
  <mergeCells count="2">
    <mergeCell ref="A1:L1"/>
    <mergeCell ref="A2:L2"/>
  </mergeCells>
  <conditionalFormatting sqref="E4:E31">
    <cfRule type="expression" dxfId="5" priority="1">
      <formula>E4="Gap"</formula>
    </cfRule>
    <cfRule type="expression" dxfId="4" priority="2">
      <formula>E4="Partial"</formula>
    </cfRule>
    <cfRule type="expression" dxfId="3" priority="3">
      <formula>E4="Out of Scope"</formula>
    </cfRule>
  </conditionalFormatting>
  <conditionalFormatting sqref="K4:K31">
    <cfRule type="expression" dxfId="2" priority="4">
      <formula>K4="Kanıtlandı"</formula>
    </cfRule>
    <cfRule type="expression" dxfId="1" priority="5">
      <formula>K4="Devam Ediyor"</formula>
    </cfRule>
    <cfRule type="expression" dxfId="0" priority="6">
      <formula>K4="Başlanmadı"</formula>
    </cfRule>
  </conditionalFormatting>
  <dataValidations count="3">
    <dataValidation type="list" sqref="E4:E31" xr:uid="{00000000-0002-0000-0000-000000000000}">
      <formula1>"Existing,Partial,Gap,Awareness,Out of Scope"</formula1>
    </dataValidation>
    <dataValidation type="list" sqref="I4:I31" xr:uid="{00000000-0002-0000-0000-000001000000}">
      <formula1>"Yüksek,Orta,Düşük"</formula1>
    </dataValidation>
    <dataValidation type="list" sqref="K4:K31" xr:uid="{00000000-0002-0000-0000-000002000000}">
      <formula1>"Başlanmadı,Devam Ediyor,Kanıtlandı,Awareness,Kapsam Dışı"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/>
  </sheetViews>
  <sheetFormatPr defaultRowHeight="13.8"/>
  <cols>
    <col min="1" max="1" width="24" customWidth="1"/>
    <col min="2" max="2" width="18" customWidth="1"/>
    <col min="4" max="4" width="18" customWidth="1"/>
    <col min="5" max="5" width="52" customWidth="1"/>
  </cols>
  <sheetData>
    <row r="1" spans="1:8" ht="21">
      <c r="A1" s="19" t="s">
        <v>220</v>
      </c>
      <c r="B1" s="19"/>
      <c r="C1" s="19"/>
      <c r="D1" s="19"/>
      <c r="E1" s="19"/>
      <c r="F1" s="19"/>
      <c r="G1" s="19"/>
      <c r="H1" s="19"/>
    </row>
    <row r="3" spans="1:8">
      <c r="A3" s="10" t="s">
        <v>221</v>
      </c>
      <c r="B3" s="11" t="s">
        <v>222</v>
      </c>
      <c r="D3" s="10" t="s">
        <v>9</v>
      </c>
      <c r="E3" s="11" t="s">
        <v>223</v>
      </c>
    </row>
    <row r="4" spans="1:8">
      <c r="A4" s="12" t="s">
        <v>224</v>
      </c>
      <c r="B4" s="13">
        <v>28</v>
      </c>
      <c r="D4" s="12" t="s">
        <v>21</v>
      </c>
      <c r="E4" s="13">
        <f>COUNTIF('Skill Gap Matrix'!I4:I31,"Yüksek")</f>
        <v>21</v>
      </c>
    </row>
    <row r="5" spans="1:8">
      <c r="A5" s="12" t="s">
        <v>225</v>
      </c>
      <c r="B5" s="13">
        <f>COUNTIF('Skill Gap Matrix'!E4:E31,"Gap")</f>
        <v>18</v>
      </c>
      <c r="D5" s="12" t="s">
        <v>47</v>
      </c>
      <c r="E5" s="13">
        <f>COUNTIF('Skill Gap Matrix'!I4:I31,"Orta")</f>
        <v>7</v>
      </c>
    </row>
    <row r="6" spans="1:8">
      <c r="A6" s="12" t="s">
        <v>226</v>
      </c>
      <c r="B6" s="13">
        <f>COUNTIF('Skill Gap Matrix'!E4:E31,"Partial")</f>
        <v>9</v>
      </c>
      <c r="D6" s="12" t="s">
        <v>227</v>
      </c>
      <c r="E6" s="13">
        <f>COUNTIF('Skill Gap Matrix'!I4:I31,"Düşük")</f>
        <v>0</v>
      </c>
    </row>
    <row r="7" spans="1:8">
      <c r="A7" s="12" t="s">
        <v>213</v>
      </c>
      <c r="B7" s="13">
        <f>COUNTIF('Skill Gap Matrix'!E4:E31,"Out of Scope")</f>
        <v>1</v>
      </c>
      <c r="D7" s="12"/>
      <c r="E7" s="13"/>
    </row>
    <row r="8" spans="1:8" ht="27.6">
      <c r="A8" s="12" t="s">
        <v>228</v>
      </c>
      <c r="B8" s="13">
        <f>COUNTIF('Skill Gap Matrix'!K4:K31,"Kanıtlandı")</f>
        <v>0</v>
      </c>
      <c r="D8" s="14" t="s">
        <v>229</v>
      </c>
      <c r="E8" s="16" t="s">
        <v>230</v>
      </c>
    </row>
    <row r="9" spans="1:8">
      <c r="A9" s="14" t="s">
        <v>231</v>
      </c>
      <c r="B9" s="15">
        <f>IF((B4-B7)=0,0,B8/(B4-B7))</f>
        <v>0</v>
      </c>
    </row>
    <row r="12" spans="1:8">
      <c r="A12" s="20" t="s">
        <v>232</v>
      </c>
      <c r="B12" s="20"/>
      <c r="C12" s="20"/>
      <c r="D12" s="20"/>
      <c r="E12" s="20"/>
      <c r="F12" s="20"/>
      <c r="G12" s="20"/>
      <c r="H12" s="20"/>
    </row>
    <row r="13" spans="1:8">
      <c r="A13" s="21" t="s">
        <v>233</v>
      </c>
      <c r="B13" s="21"/>
      <c r="C13" s="21"/>
      <c r="D13" s="21"/>
      <c r="E13" s="21"/>
      <c r="F13" s="21"/>
      <c r="G13" s="21"/>
      <c r="H13" s="21"/>
    </row>
    <row r="14" spans="1:8">
      <c r="A14" s="21"/>
      <c r="B14" s="21"/>
      <c r="C14" s="21"/>
      <c r="D14" s="21"/>
      <c r="E14" s="21"/>
      <c r="F14" s="21"/>
      <c r="G14" s="21"/>
      <c r="H14" s="21"/>
    </row>
    <row r="15" spans="1:8">
      <c r="A15" s="21"/>
      <c r="B15" s="21"/>
      <c r="C15" s="21"/>
      <c r="D15" s="21"/>
      <c r="E15" s="21"/>
      <c r="F15" s="21"/>
      <c r="G15" s="21"/>
      <c r="H15" s="21"/>
    </row>
    <row r="16" spans="1:8">
      <c r="A16" s="21"/>
      <c r="B16" s="21"/>
      <c r="C16" s="21"/>
      <c r="D16" s="21"/>
      <c r="E16" s="21"/>
      <c r="F16" s="21"/>
      <c r="G16" s="21"/>
      <c r="H16" s="21"/>
    </row>
  </sheetData>
  <mergeCells count="3">
    <mergeCell ref="A1:H1"/>
    <mergeCell ref="A12:H12"/>
    <mergeCell ref="A13:H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Skill Gap Matrix</vt:lpstr>
      <vt:lpstr>Özet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Bedri Baylar</dc:creator>
  <cp:lastModifiedBy>Hasan Bedri Baylar</cp:lastModifiedBy>
  <dcterms:created xsi:type="dcterms:W3CDTF">2026-09-11T17:07:01Z</dcterms:created>
  <dcterms:modified xsi:type="dcterms:W3CDTF">2026-09-11T17:07:27Z</dcterms:modified>
</cp:coreProperties>
</file>